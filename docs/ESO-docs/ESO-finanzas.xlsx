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blo/Documents/github/AstroGit-OS/docs/ESO-docs/"/>
    </mc:Choice>
  </mc:AlternateContent>
  <xr:revisionPtr revIDLastSave="0" documentId="13_ncr:1_{03505DA9-CC29-5548-BF19-A58A2A6AA055}" xr6:coauthVersionLast="47" xr6:coauthVersionMax="47" xr10:uidLastSave="{00000000-0000-0000-0000-000000000000}"/>
  <bookViews>
    <workbookView xWindow="920" yWindow="600" windowWidth="27880" windowHeight="17400" xr2:uid="{7AF2B69F-C7B1-BF4D-9F57-34C5ABF7EC90}"/>
  </bookViews>
  <sheets>
    <sheet name="Componente" sheetId="1" r:id="rId1"/>
    <sheet name="Perío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10" i="1"/>
  <c r="F3" i="1"/>
  <c r="F4" i="2"/>
  <c r="F5" i="2"/>
  <c r="F6" i="2"/>
  <c r="F7" i="2"/>
  <c r="F8" i="2"/>
  <c r="F9" i="2"/>
  <c r="F10" i="2"/>
  <c r="F11" i="2"/>
  <c r="F12" i="2"/>
  <c r="F3" i="2"/>
  <c r="F13" i="2" s="1"/>
  <c r="D13" i="2"/>
  <c r="E13" i="2"/>
  <c r="C13" i="2"/>
</calcChain>
</file>

<file path=xl/sharedStrings.xml><?xml version="1.0" encoding="utf-8"?>
<sst xmlns="http://schemas.openxmlformats.org/spreadsheetml/2006/main" count="46" uniqueCount="36">
  <si>
    <t>Estación de trabajo portátil de alto rendimiento</t>
  </si>
  <si>
    <t>Equipamiento periférico y de prototipaje IoT</t>
  </si>
  <si>
    <t>Hito</t>
  </si>
  <si>
    <t>Transporte, alojamiento y comida (SCL-ANF)</t>
  </si>
  <si>
    <t>Pasante en astrofísica (20h/semana, bruto)</t>
  </si>
  <si>
    <t>Líder de proyecto (20h/semana, bruto)</t>
  </si>
  <si>
    <t>Actividades de difusión: Charlas y seminarios</t>
  </si>
  <si>
    <t>Honorarios</t>
  </si>
  <si>
    <t>Ene-2027</t>
  </si>
  <si>
    <t>Feb-2027</t>
  </si>
  <si>
    <t>Mar-2027</t>
  </si>
  <si>
    <t>Abr-2027</t>
  </si>
  <si>
    <t>May-2027</t>
  </si>
  <si>
    <t>Jun-2027</t>
  </si>
  <si>
    <t>Jul-2027</t>
  </si>
  <si>
    <t>Ago-2027</t>
  </si>
  <si>
    <t>Sep-2027</t>
  </si>
  <si>
    <t>Dic-2026</t>
  </si>
  <si>
    <t>Logística</t>
  </si>
  <si>
    <t>Despliegue</t>
  </si>
  <si>
    <t>Inversión Inicial</t>
  </si>
  <si>
    <t>---</t>
  </si>
  <si>
    <t>Total Mensual</t>
  </si>
  <si>
    <t>Período</t>
  </si>
  <si>
    <r>
      <rPr>
        <i/>
        <sz val="12"/>
        <color theme="1"/>
        <rFont val="Palatino Linotype"/>
        <family val="1"/>
      </rPr>
      <t>Milestone</t>
    </r>
    <r>
      <rPr>
        <sz val="12"/>
        <color theme="1"/>
        <rFont val="Palatino Linotype"/>
        <family val="1"/>
      </rPr>
      <t xml:space="preserve"> 2</t>
    </r>
  </si>
  <si>
    <r>
      <rPr>
        <i/>
        <sz val="12"/>
        <color theme="1"/>
        <rFont val="Palatino Linotype"/>
        <family val="1"/>
      </rPr>
      <t>Milestone</t>
    </r>
    <r>
      <rPr>
        <sz val="12"/>
        <color theme="1"/>
        <rFont val="Palatino Linotype"/>
        <family val="1"/>
      </rPr>
      <t xml:space="preserve"> 3</t>
    </r>
  </si>
  <si>
    <r>
      <rPr>
        <i/>
        <sz val="12"/>
        <color theme="1"/>
        <rFont val="Palatino Linotype"/>
        <family val="1"/>
      </rPr>
      <t>Milestone</t>
    </r>
    <r>
      <rPr>
        <sz val="12"/>
        <color theme="1"/>
        <rFont val="Palatino Linotype"/>
        <family val="1"/>
      </rPr>
      <t xml:space="preserve"> 4</t>
    </r>
  </si>
  <si>
    <t>Monto</t>
  </si>
  <si>
    <t>Subtotal</t>
  </si>
  <si>
    <t>Frecuencia</t>
  </si>
  <si>
    <t>Puntual</t>
  </si>
  <si>
    <t>Mensual</t>
  </si>
  <si>
    <t>Compente Presupuestario</t>
  </si>
  <si>
    <t>Eventos</t>
  </si>
  <si>
    <r>
      <rPr>
        <b/>
        <i/>
        <sz val="12"/>
        <color theme="1"/>
        <rFont val="Palatino Linotype"/>
        <family val="1"/>
      </rPr>
      <t>Software</t>
    </r>
    <r>
      <rPr>
        <b/>
        <sz val="12"/>
        <color theme="1"/>
        <rFont val="Palatino Linotype"/>
        <family val="1"/>
      </rPr>
      <t xml:space="preserve"> y licencias</t>
    </r>
  </si>
  <si>
    <t>Monto a Financiar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</si>
</sst>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  <font>
      <i/>
      <sz val="12"/>
      <color theme="1"/>
      <name val="Palatino Linotype"/>
      <family val="1"/>
    </font>
    <font>
      <b/>
      <i/>
      <sz val="12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quotePrefix="1" applyFont="1"/>
    <xf numFmtId="0" fontId="3" fillId="3" borderId="0" xfId="0" quotePrefix="1" applyFont="1" applyFill="1"/>
    <xf numFmtId="0" fontId="3" fillId="3" borderId="0" xfId="0" applyFont="1" applyFill="1"/>
    <xf numFmtId="0" fontId="2" fillId="2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0" fontId="3" fillId="3" borderId="5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49" fontId="2" fillId="3" borderId="2" xfId="0" applyNumberFormat="1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9E87-FEB0-C341-B5E9-BA6B52C4C0B0}">
  <dimension ref="B2:F10"/>
  <sheetViews>
    <sheetView showGridLines="0" tabSelected="1" zoomScale="150" workbookViewId="0">
      <selection activeCell="C15" sqref="C15"/>
    </sheetView>
  </sheetViews>
  <sheetFormatPr baseColWidth="10" defaultRowHeight="16" x14ac:dyDescent="0.2"/>
  <cols>
    <col min="1" max="1" width="5.83203125" customWidth="1"/>
    <col min="2" max="2" width="50.33203125" customWidth="1"/>
    <col min="3" max="4" width="21.1640625" style="1" customWidth="1"/>
    <col min="5" max="5" width="13.5" style="1" customWidth="1"/>
    <col min="6" max="6" width="15.6640625" style="1" customWidth="1"/>
  </cols>
  <sheetData>
    <row r="2" spans="2:6" ht="19" x14ac:dyDescent="0.3">
      <c r="B2" s="6" t="s">
        <v>32</v>
      </c>
      <c r="C2" s="17" t="s">
        <v>27</v>
      </c>
      <c r="D2" s="17" t="s">
        <v>29</v>
      </c>
      <c r="E2" s="16" t="s">
        <v>33</v>
      </c>
      <c r="F2" s="16" t="s">
        <v>28</v>
      </c>
    </row>
    <row r="3" spans="2:6" ht="19" x14ac:dyDescent="0.3">
      <c r="B3" s="28" t="s">
        <v>0</v>
      </c>
      <c r="C3" s="7">
        <v>2350000</v>
      </c>
      <c r="D3" s="7" t="s">
        <v>20</v>
      </c>
      <c r="E3" s="30">
        <v>1</v>
      </c>
      <c r="F3" s="10">
        <f>C3*E3</f>
        <v>2350000</v>
      </c>
    </row>
    <row r="4" spans="2:6" ht="19" x14ac:dyDescent="0.3">
      <c r="B4" s="29" t="s">
        <v>1</v>
      </c>
      <c r="C4" s="8">
        <v>900000</v>
      </c>
      <c r="D4" s="8" t="s">
        <v>20</v>
      </c>
      <c r="E4" s="31">
        <v>1</v>
      </c>
      <c r="F4" s="11">
        <f t="shared" ref="F4:F9" si="0">C4*E4</f>
        <v>900000</v>
      </c>
    </row>
    <row r="5" spans="2:6" ht="19" x14ac:dyDescent="0.3">
      <c r="B5" s="27" t="s">
        <v>34</v>
      </c>
      <c r="C5" s="7">
        <v>400000</v>
      </c>
      <c r="D5" s="7" t="s">
        <v>20</v>
      </c>
      <c r="E5" s="30">
        <v>1</v>
      </c>
      <c r="F5" s="10">
        <f t="shared" si="0"/>
        <v>400000</v>
      </c>
    </row>
    <row r="6" spans="2:6" ht="19" x14ac:dyDescent="0.3">
      <c r="B6" s="29" t="s">
        <v>6</v>
      </c>
      <c r="C6" s="8">
        <v>175000</v>
      </c>
      <c r="D6" s="8" t="s">
        <v>30</v>
      </c>
      <c r="E6" s="31">
        <v>4</v>
      </c>
      <c r="F6" s="11">
        <f t="shared" si="0"/>
        <v>700000</v>
      </c>
    </row>
    <row r="7" spans="2:6" ht="19" x14ac:dyDescent="0.3">
      <c r="B7" s="27" t="s">
        <v>5</v>
      </c>
      <c r="C7" s="7">
        <v>2400000</v>
      </c>
      <c r="D7" s="7" t="s">
        <v>31</v>
      </c>
      <c r="E7" s="30">
        <v>9</v>
      </c>
      <c r="F7" s="10">
        <f t="shared" si="0"/>
        <v>21600000</v>
      </c>
    </row>
    <row r="8" spans="2:6" ht="19" x14ac:dyDescent="0.3">
      <c r="B8" s="29" t="s">
        <v>4</v>
      </c>
      <c r="C8" s="8">
        <v>750000</v>
      </c>
      <c r="D8" s="8" t="s">
        <v>31</v>
      </c>
      <c r="E8" s="31">
        <v>9</v>
      </c>
      <c r="F8" s="11">
        <f t="shared" si="0"/>
        <v>6750000</v>
      </c>
    </row>
    <row r="9" spans="2:6" ht="19" x14ac:dyDescent="0.3">
      <c r="B9" s="27" t="s">
        <v>3</v>
      </c>
      <c r="C9" s="7">
        <v>250000</v>
      </c>
      <c r="D9" s="7" t="s">
        <v>31</v>
      </c>
      <c r="E9" s="30">
        <v>9</v>
      </c>
      <c r="F9" s="10">
        <f t="shared" si="0"/>
        <v>2250000</v>
      </c>
    </row>
    <row r="10" spans="2:6" ht="19" x14ac:dyDescent="0.3">
      <c r="B10" s="26"/>
      <c r="C10" s="25"/>
      <c r="D10" s="24" t="s">
        <v>35</v>
      </c>
      <c r="E10" s="24"/>
      <c r="F10" s="23">
        <f>SUM(F3:F9)</f>
        <v>34950000</v>
      </c>
    </row>
  </sheetData>
  <mergeCells count="1">
    <mergeCell ref="D10:E10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D6C8-3B71-334F-A8C2-1890576A9789}">
  <dimension ref="B2:G13"/>
  <sheetViews>
    <sheetView showGridLines="0" zoomScale="146" workbookViewId="0">
      <selection activeCell="C17" sqref="C17"/>
    </sheetView>
  </sheetViews>
  <sheetFormatPr baseColWidth="10" defaultRowHeight="16" x14ac:dyDescent="0.2"/>
  <cols>
    <col min="1" max="1" width="5.83203125" customWidth="1"/>
    <col min="2" max="2" width="15.5" customWidth="1"/>
    <col min="3" max="7" width="17.5" customWidth="1"/>
  </cols>
  <sheetData>
    <row r="2" spans="2:7" ht="19" x14ac:dyDescent="0.3">
      <c r="B2" s="6" t="s">
        <v>23</v>
      </c>
      <c r="C2" s="17" t="s">
        <v>7</v>
      </c>
      <c r="D2" s="17" t="s">
        <v>19</v>
      </c>
      <c r="E2" s="16" t="s">
        <v>18</v>
      </c>
      <c r="F2" s="16" t="s">
        <v>22</v>
      </c>
      <c r="G2" s="18" t="s">
        <v>2</v>
      </c>
    </row>
    <row r="3" spans="2:7" ht="19" x14ac:dyDescent="0.3">
      <c r="B3" s="21" t="s">
        <v>17</v>
      </c>
      <c r="C3" s="7">
        <v>0</v>
      </c>
      <c r="D3" s="7">
        <v>3650000</v>
      </c>
      <c r="E3" s="10">
        <v>0</v>
      </c>
      <c r="F3" s="10">
        <f>SUM(C3:E3)</f>
        <v>3650000</v>
      </c>
      <c r="G3" s="2" t="s">
        <v>20</v>
      </c>
    </row>
    <row r="4" spans="2:7" ht="19" x14ac:dyDescent="0.3">
      <c r="B4" s="20" t="s">
        <v>8</v>
      </c>
      <c r="C4" s="8">
        <v>3150000</v>
      </c>
      <c r="D4" s="8">
        <v>0</v>
      </c>
      <c r="E4" s="11">
        <v>250000</v>
      </c>
      <c r="F4" s="11">
        <f t="shared" ref="F4:F12" si="0">SUM(C4:E4)</f>
        <v>3400000</v>
      </c>
      <c r="G4" s="4" t="s">
        <v>21</v>
      </c>
    </row>
    <row r="5" spans="2:7" ht="19" x14ac:dyDescent="0.3">
      <c r="B5" s="19" t="s">
        <v>9</v>
      </c>
      <c r="C5" s="7">
        <v>3150000</v>
      </c>
      <c r="D5" s="7">
        <v>150000</v>
      </c>
      <c r="E5" s="10">
        <v>250000</v>
      </c>
      <c r="F5" s="10">
        <f t="shared" si="0"/>
        <v>3550000</v>
      </c>
      <c r="G5" s="3" t="s">
        <v>21</v>
      </c>
    </row>
    <row r="6" spans="2:7" ht="19" x14ac:dyDescent="0.3">
      <c r="B6" s="20" t="s">
        <v>10</v>
      </c>
      <c r="C6" s="8">
        <v>3150000</v>
      </c>
      <c r="D6" s="8">
        <v>200000</v>
      </c>
      <c r="E6" s="11">
        <v>250000</v>
      </c>
      <c r="F6" s="11">
        <f t="shared" si="0"/>
        <v>3600000</v>
      </c>
      <c r="G6" s="5" t="s">
        <v>24</v>
      </c>
    </row>
    <row r="7" spans="2:7" ht="19" x14ac:dyDescent="0.3">
      <c r="B7" s="19" t="s">
        <v>11</v>
      </c>
      <c r="C7" s="7">
        <v>3150000</v>
      </c>
      <c r="D7" s="7">
        <v>0</v>
      </c>
      <c r="E7" s="10">
        <v>250000</v>
      </c>
      <c r="F7" s="10">
        <f t="shared" si="0"/>
        <v>3400000</v>
      </c>
      <c r="G7" s="3" t="s">
        <v>21</v>
      </c>
    </row>
    <row r="8" spans="2:7" ht="19" x14ac:dyDescent="0.3">
      <c r="B8" s="20" t="s">
        <v>12</v>
      </c>
      <c r="C8" s="8">
        <v>3150000</v>
      </c>
      <c r="D8" s="8">
        <v>0</v>
      </c>
      <c r="E8" s="11">
        <v>250000</v>
      </c>
      <c r="F8" s="11">
        <f t="shared" si="0"/>
        <v>3400000</v>
      </c>
      <c r="G8" s="4" t="s">
        <v>21</v>
      </c>
    </row>
    <row r="9" spans="2:7" ht="19" x14ac:dyDescent="0.3">
      <c r="B9" s="19" t="s">
        <v>13</v>
      </c>
      <c r="C9" s="7">
        <v>3150000</v>
      </c>
      <c r="D9" s="7">
        <v>200000</v>
      </c>
      <c r="E9" s="10">
        <v>250000</v>
      </c>
      <c r="F9" s="10">
        <f t="shared" si="0"/>
        <v>3600000</v>
      </c>
      <c r="G9" s="2" t="s">
        <v>25</v>
      </c>
    </row>
    <row r="10" spans="2:7" ht="19" x14ac:dyDescent="0.3">
      <c r="B10" s="20" t="s">
        <v>14</v>
      </c>
      <c r="C10" s="8">
        <v>3150000</v>
      </c>
      <c r="D10" s="8">
        <v>0</v>
      </c>
      <c r="E10" s="11">
        <v>250000</v>
      </c>
      <c r="F10" s="11">
        <f t="shared" si="0"/>
        <v>3400000</v>
      </c>
      <c r="G10" s="4" t="s">
        <v>21</v>
      </c>
    </row>
    <row r="11" spans="2:7" ht="19" x14ac:dyDescent="0.3">
      <c r="B11" s="19" t="s">
        <v>15</v>
      </c>
      <c r="C11" s="7">
        <v>3150000</v>
      </c>
      <c r="D11" s="7">
        <v>0</v>
      </c>
      <c r="E11" s="10">
        <v>250000</v>
      </c>
      <c r="F11" s="10">
        <f t="shared" si="0"/>
        <v>3400000</v>
      </c>
      <c r="G11" s="3" t="s">
        <v>21</v>
      </c>
    </row>
    <row r="12" spans="2:7" ht="19" x14ac:dyDescent="0.3">
      <c r="B12" s="22" t="s">
        <v>16</v>
      </c>
      <c r="C12" s="13">
        <v>3150000</v>
      </c>
      <c r="D12" s="13">
        <v>150000</v>
      </c>
      <c r="E12" s="14">
        <v>250000</v>
      </c>
      <c r="F12" s="14">
        <f t="shared" si="0"/>
        <v>3550000</v>
      </c>
      <c r="G12" s="15" t="s">
        <v>26</v>
      </c>
    </row>
    <row r="13" spans="2:7" ht="19" x14ac:dyDescent="0.3">
      <c r="B13" s="2"/>
      <c r="C13" s="9">
        <f>SUM(C3:C12)</f>
        <v>28350000</v>
      </c>
      <c r="D13" s="9">
        <f t="shared" ref="D13:E13" si="1">SUM(D3:D12)</f>
        <v>4350000</v>
      </c>
      <c r="E13" s="12">
        <f t="shared" si="1"/>
        <v>2250000</v>
      </c>
      <c r="F13" s="12">
        <f>SUM(F3:F12)</f>
        <v>34950000</v>
      </c>
      <c r="G13" s="2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Componente</vt:lpstr>
      <vt:lpstr>Período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Leiva</dc:creator>
  <cp:lastModifiedBy>Victor Leiva</cp:lastModifiedBy>
  <dcterms:created xsi:type="dcterms:W3CDTF">2026-09-11T07:13:20Z</dcterms:created>
  <dcterms:modified xsi:type="dcterms:W3CDTF">2026-09-13T22:47:15Z</dcterms:modified>
</cp:coreProperties>
</file>